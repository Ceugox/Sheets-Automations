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3200" documentId="11_7F4755BF84DCCE43E268565A8931F45BFA75341E" xr6:coauthVersionLast="47" xr6:coauthVersionMax="47" xr10:uidLastSave="{A776EDC3-F3DD-4CCE-BFC8-8A5F890E550D}"/>
  <bookViews>
    <workbookView xWindow="240" yWindow="105" windowWidth="14805" windowHeight="8010" firstSheet="5" activeTab="5" xr2:uid="{00000000-000D-0000-FFFF-FFFF00000000}"/>
  </bookViews>
  <sheets>
    <sheet name="Meta de Ingressos" sheetId="10" r:id="rId1"/>
    <sheet name="Meta de Leads" sheetId="8" r:id="rId2"/>
    <sheet name="Meta de Investimento" sheetId="1" r:id="rId3"/>
    <sheet name="Verba Prevista" sheetId="9" r:id="rId4"/>
    <sheet name="Metas por Dia" sheetId="3" r:id="rId5"/>
    <sheet name="Contas de Anúncio" sheetId="7" r:id="rId6"/>
  </sheets>
  <definedNames>
    <definedName name="_xlnm._FilterDatabase" localSheetId="4" hidden="1">'Metas por Dia'!$A$1:$N$66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<sst xmlns="http://schemas.openxmlformats.org/spreadsheetml/2006/main" count="92" uniqueCount="42">
  <si>
    <t>Fonte &amp; Categoria</t>
  </si>
  <si>
    <t>Meta</t>
  </si>
  <si>
    <t>Tráfego</t>
  </si>
  <si>
    <t>Meta Ads</t>
  </si>
  <si>
    <t>YouTube Ads</t>
  </si>
  <si>
    <t>Google Ads</t>
  </si>
  <si>
    <t>Social</t>
  </si>
  <si>
    <t>Mailing</t>
  </si>
  <si>
    <t>Fase</t>
  </si>
  <si>
    <t>[Previsto] Total</t>
  </si>
  <si>
    <t>[Previsto] Meta Ads</t>
  </si>
  <si>
    <t>[Previsto] YouTube Ads</t>
  </si>
  <si>
    <t>[Previsto] Google Ads</t>
  </si>
  <si>
    <t>Distribuição de Conteúdo</t>
  </si>
  <si>
    <t>Captação</t>
  </si>
  <si>
    <t>Aquecimento</t>
  </si>
  <si>
    <t>Lembrete</t>
  </si>
  <si>
    <t>Remarketing Aulas</t>
  </si>
  <si>
    <t>Remarketing Vendas</t>
  </si>
  <si>
    <t>Flash Opening</t>
  </si>
  <si>
    <t>[Verba] Total</t>
  </si>
  <si>
    <t>[Verba] Meta Ads</t>
  </si>
  <si>
    <t>[Verba] YouTube Ads</t>
  </si>
  <si>
    <t>[Verba] Google Ads</t>
  </si>
  <si>
    <t xml:space="preserve">  -   </t>
  </si>
  <si>
    <t>Data</t>
  </si>
  <si>
    <t>[Investimento] Meta Ads</t>
  </si>
  <si>
    <t>[Leads] Meta Ads</t>
  </si>
  <si>
    <t>[Investimento] YouTube Ads</t>
  </si>
  <si>
    <t>[Leads] YouTube Ads</t>
  </si>
  <si>
    <t>[Investimento] Google Ads</t>
  </si>
  <si>
    <t>[Leads] Google Ads</t>
  </si>
  <si>
    <t>%</t>
  </si>
  <si>
    <t>[Leads] Tráfego</t>
  </si>
  <si>
    <t>Espaço 1</t>
  </si>
  <si>
    <t>[Leads] Social</t>
  </si>
  <si>
    <t>Espaço 2</t>
  </si>
  <si>
    <t>[Leads] Mailing</t>
  </si>
  <si>
    <t>Plataforma</t>
  </si>
  <si>
    <t>Conta de Anúncios</t>
  </si>
  <si>
    <t>CA 02 - Lançamento FMA</t>
  </si>
  <si>
    <t>GADS - Italo Marsili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</si>
</sst>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FFFFFF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readingOrder="1"/>
    </xf>
    <xf numFmtId="0" fontId="3" fillId="2" borderId="2" xfId="0" applyFont="1" applyFill="1" applyBorder="1"/>
    <xf numFmtId="0" fontId="4" fillId="0" borderId="3" xfId="0" applyFont="1" applyBorder="1"/>
    <xf numFmtId="0" fontId="4" fillId="0" borderId="5" xfId="0" applyFont="1" applyBorder="1"/>
    <xf numFmtId="0" fontId="2" fillId="0" borderId="3" xfId="0" applyFont="1" applyBorder="1" applyAlignment="1">
      <alignment readingOrder="1"/>
    </xf>
    <xf numFmtId="0" fontId="6" fillId="3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readingOrder="1"/>
    </xf>
    <xf numFmtId="0" fontId="1" fillId="2" borderId="8" xfId="0" applyFont="1" applyFill="1" applyBorder="1" applyAlignment="1">
      <alignment horizontal="center" readingOrder="1"/>
    </xf>
    <xf numFmtId="1" fontId="1" fillId="2" borderId="8" xfId="0" applyNumberFormat="1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9" xfId="0" applyFont="1" applyFill="1" applyBorder="1" applyAlignment="1">
      <alignment readingOrder="1"/>
    </xf>
    <xf numFmtId="0" fontId="1" fillId="2" borderId="6" xfId="0" applyFont="1" applyFill="1" applyBorder="1" applyAlignment="1">
      <alignment horizontal="center" readingOrder="1"/>
    </xf>
    <xf numFmtId="0" fontId="1" fillId="2" borderId="11" xfId="0" applyFont="1" applyFill="1" applyBorder="1" applyAlignment="1">
      <alignment horizontal="center" readingOrder="1"/>
    </xf>
    <xf numFmtId="14" fontId="5" fillId="0" borderId="3" xfId="0" applyNumberFormat="1" applyFont="1" applyBorder="1"/>
    <xf numFmtId="1" fontId="1" fillId="2" borderId="10" xfId="0" applyNumberFormat="1" applyFont="1" applyFill="1" applyBorder="1" applyAlignment="1">
      <alignment horizontal="center" readingOrder="1"/>
    </xf>
    <xf numFmtId="1" fontId="1" fillId="2" borderId="9" xfId="0" applyNumberFormat="1" applyFont="1" applyFill="1" applyBorder="1" applyAlignment="1">
      <alignment horizontal="center" readingOrder="1"/>
    </xf>
    <xf numFmtId="1" fontId="1" fillId="2" borderId="12" xfId="0" applyNumberFormat="1" applyFont="1" applyFill="1" applyBorder="1" applyAlignment="1">
      <alignment horizontal="center" readingOrder="1"/>
    </xf>
    <xf numFmtId="0" fontId="4" fillId="0" borderId="4" xfId="0" applyFont="1" applyBorder="1"/>
    <xf numFmtId="0" fontId="7" fillId="0" borderId="0" xfId="0" applyFont="1"/>
    <xf numFmtId="9" fontId="1" fillId="2" borderId="12" xfId="0" applyNumberFormat="1" applyFont="1" applyFill="1" applyBorder="1" applyAlignment="1">
      <alignment horizontal="center" readingOrder="1"/>
    </xf>
    <xf numFmtId="9" fontId="0" fillId="0" borderId="0" xfId="0" applyNumberFormat="1" applyAlignment="1">
      <alignment horizontal="center"/>
    </xf>
    <xf numFmtId="0" fontId="3" fillId="2" borderId="14" xfId="0" applyFont="1" applyFill="1" applyBorder="1"/>
    <xf numFmtId="0" fontId="7" fillId="0" borderId="4" xfId="0" applyFont="1" applyBorder="1"/>
    <xf numFmtId="0" fontId="2" fillId="0" borderId="15" xfId="0" applyFont="1" applyBorder="1"/>
    <xf numFmtId="164" fontId="2" fillId="0" borderId="0" xfId="0" applyNumberFormat="1" applyFont="1" applyAlignment="1">
      <alignment readingOrder="1"/>
    </xf>
    <xf numFmtId="0" fontId="2" fillId="0" borderId="16" xfId="0" applyFont="1" applyBorder="1" applyAlignment="1">
      <alignment readingOrder="1"/>
    </xf>
    <xf numFmtId="0" fontId="2" fillId="0" borderId="17" xfId="0" applyFont="1" applyBorder="1" applyAlignment="1">
      <alignment readingOrder="1"/>
    </xf>
    <xf numFmtId="0" fontId="1" fillId="2" borderId="18" xfId="0" applyFont="1" applyFill="1" applyBorder="1" applyAlignment="1">
      <alignment readingOrder="1"/>
    </xf>
    <xf numFmtId="0" fontId="1" fillId="2" borderId="19" xfId="0" applyFont="1" applyFill="1" applyBorder="1" applyAlignment="1">
      <alignment readingOrder="1"/>
    </xf>
    <xf numFmtId="164" fontId="2" fillId="0" borderId="12" xfId="0" applyNumberFormat="1" applyFont="1" applyBorder="1" applyAlignment="1">
      <alignment readingOrder="1"/>
    </xf>
    <xf numFmtId="164" fontId="2" fillId="0" borderId="13" xfId="0" applyNumberFormat="1" applyFont="1" applyBorder="1" applyAlignment="1">
      <alignment readingOrder="1"/>
    </xf>
    <xf numFmtId="0" fontId="0" fillId="0" borderId="3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8" fillId="4" borderId="21" xfId="0" applyFont="1" applyFill="1" applyBorder="1" applyAlignment="1">
      <alignment readingOrder="1"/>
    </xf>
    <xf numFmtId="0" fontId="8" fillId="5" borderId="22" xfId="0" applyFont="1" applyFill="1" applyBorder="1" applyAlignment="1">
      <alignment readingOrder="1"/>
    </xf>
    <xf numFmtId="10" fontId="8" fillId="5" borderId="22" xfId="0" applyNumberFormat="1" applyFont="1" applyFill="1" applyBorder="1" applyAlignment="1">
      <alignment readingOrder="1"/>
    </xf>
    <xf numFmtId="0" fontId="7" fillId="6" borderId="23" xfId="0" applyFont="1" applyFill="1" applyBorder="1" applyAlignment="1">
      <alignment readingOrder="1"/>
    </xf>
    <xf numFmtId="0" fontId="7" fillId="6" borderId="26" xfId="0" applyFont="1" applyFill="1" applyBorder="1" applyAlignment="1">
      <alignment readingOrder="1"/>
    </xf>
    <xf numFmtId="0" fontId="7" fillId="4" borderId="24" xfId="0" applyFont="1" applyFill="1" applyBorder="1" applyAlignment="1">
      <alignment readingOrder="1"/>
    </xf>
    <xf numFmtId="0" fontId="7" fillId="4" borderId="0" xfId="0" applyFont="1" applyFill="1" applyAlignment="1">
      <alignment readingOrder="1"/>
    </xf>
    <xf numFmtId="0" fontId="7" fillId="4" borderId="25" xfId="0" applyFont="1" applyFill="1" applyBorder="1" applyAlignment="1">
      <alignment readingOrder="1"/>
    </xf>
    <xf numFmtId="0" fontId="7" fillId="5" borderId="25" xfId="0" applyFont="1" applyFill="1" applyBorder="1" applyAlignment="1">
      <alignment readingOrder="1"/>
    </xf>
    <xf numFmtId="0" fontId="7" fillId="4" borderId="27" xfId="0" applyFont="1" applyFill="1" applyBorder="1" applyAlignment="1">
      <alignment readingOrder="1"/>
    </xf>
    <xf numFmtId="0" fontId="7" fillId="4" borderId="28" xfId="0" applyFont="1" applyFill="1" applyBorder="1" applyAlignment="1">
      <alignment readingOrder="1"/>
    </xf>
    <xf numFmtId="0" fontId="7" fillId="4" borderId="29" xfId="0" applyFont="1" applyFill="1" applyBorder="1" applyAlignment="1">
      <alignment readingOrder="1"/>
    </xf>
    <xf numFmtId="0" fontId="7" fillId="5" borderId="29" xfId="0" applyFont="1" applyFill="1" applyBorder="1" applyAlignment="1">
      <alignment readingOrder="1"/>
    </xf>
    <xf numFmtId="8" fontId="8" fillId="4" borderId="20" xfId="0" applyNumberFormat="1" applyFont="1" applyFill="1" applyBorder="1" applyAlignment="1">
      <alignment readingOrder="1"/>
    </xf>
    <xf numFmtId="0" fontId="2" fillId="0" borderId="14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26E1-FE44-4F76-8BF6-C9100718E8E2}">
  <dimension ref="A1:B7"/>
  <sheetViews>
    <sheetView workbookViewId="0">
      <selection activeCell="B7" sqref="B7"/>
    </sheetView>
  </sheetViews>
  <sheetFormatPr defaultColWidth="0" defaultRowHeight="0" customHeight="1" zeroHeight="1"/>
  <cols>
    <col min="1" max="1" width="17.140625" bestFit="1" customWidth="1"/>
    <col min="2" max="2" width="9.140625" customWidth="1"/>
  </cols>
  <sheetData>
    <row r="1" spans="1:2" ht="15">
      <c r="A1" s="2" t="s">
        <v>0</v>
      </c>
      <c r="B1" s="23" t="s">
        <v>1</v>
      </c>
    </row>
    <row r="2" spans="1:2" ht="15">
      <c r="A2" s="3" t="s">
        <v>2</v>
      </c>
      <c r="B2" s="54"/>
    </row>
    <row r="3" spans="1:2" ht="15">
      <c r="A3" s="3" t="s">
        <v>3</v>
      </c>
      <c r="B3" s="24"/>
    </row>
    <row r="4" spans="1:2" ht="15">
      <c r="A4" s="3" t="s">
        <v>4</v>
      </c>
      <c r="B4" s="24"/>
    </row>
    <row r="5" spans="1:2" ht="15">
      <c r="A5" s="3" t="s">
        <v>5</v>
      </c>
      <c r="B5" s="24"/>
    </row>
    <row r="6" spans="1:2" ht="15">
      <c r="A6" s="3" t="s">
        <v>6</v>
      </c>
      <c r="B6" s="19"/>
    </row>
    <row r="7" spans="1:2" ht="15">
      <c r="A7" s="4" t="s">
        <v>7</v>
      </c>
      <c r="B7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B37A-61A0-443C-A8D5-A928B972CFF6}">
  <dimension ref="A1:B8"/>
  <sheetViews>
    <sheetView workbookViewId="0">
      <selection activeCell="B2" sqref="B2:B7"/>
    </sheetView>
  </sheetViews>
  <sheetFormatPr defaultColWidth="0" defaultRowHeight="0" customHeight="1" zeroHeight="1"/>
  <cols>
    <col min="1" max="1" width="17.140625" bestFit="1" customWidth="1"/>
    <col min="2" max="2" width="9.140625" customWidth="1"/>
  </cols>
  <sheetData>
    <row r="1" spans="1:2" ht="15">
      <c r="A1" s="2" t="s">
        <v>0</v>
      </c>
      <c r="B1" s="23" t="s">
        <v>1</v>
      </c>
    </row>
    <row r="2" spans="1:2" ht="15">
      <c r="A2" s="3" t="s">
        <v>2</v>
      </c>
      <c r="B2" s="54">
        <v>6615</v>
      </c>
    </row>
    <row r="3" spans="1:2" ht="15">
      <c r="A3" s="3" t="s">
        <v>3</v>
      </c>
      <c r="B3" s="24">
        <v>5292</v>
      </c>
    </row>
    <row r="4" spans="1:2" ht="15">
      <c r="A4" s="3" t="s">
        <v>4</v>
      </c>
      <c r="B4" s="24">
        <v>1058</v>
      </c>
    </row>
    <row r="5" spans="1:2" ht="15">
      <c r="A5" s="3" t="s">
        <v>5</v>
      </c>
      <c r="B5" s="24">
        <v>265</v>
      </c>
    </row>
    <row r="6" spans="1:2" ht="15">
      <c r="A6" s="3" t="s">
        <v>6</v>
      </c>
      <c r="B6" s="19">
        <v>1500</v>
      </c>
    </row>
    <row r="7" spans="1:2" ht="15">
      <c r="A7" s="4" t="s">
        <v>7</v>
      </c>
      <c r="B7" s="25">
        <v>500</v>
      </c>
    </row>
    <row r="8" spans="1:2" ht="0" hidden="1" customHeight="1">
      <c r="B8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2" sqref="B2:E8"/>
    </sheetView>
  </sheetViews>
  <sheetFormatPr defaultColWidth="0" defaultRowHeight="0" customHeight="1" zeroHeight="1"/>
  <cols>
    <col min="1" max="1" width="23.85546875" customWidth="1"/>
    <col min="2" max="2" width="16" bestFit="1" customWidth="1"/>
    <col min="3" max="3" width="18.7109375" bestFit="1" customWidth="1"/>
    <col min="4" max="4" width="22.5703125" bestFit="1" customWidth="1"/>
    <col min="5" max="5" width="21" bestFit="1" customWidth="1"/>
  </cols>
  <sheetData>
    <row r="1" spans="1:5" ht="15">
      <c r="A1" s="1" t="s">
        <v>8</v>
      </c>
      <c r="B1" s="29" t="s">
        <v>9</v>
      </c>
      <c r="C1" s="30" t="s">
        <v>10</v>
      </c>
      <c r="D1" s="30" t="s">
        <v>11</v>
      </c>
      <c r="E1" s="30" t="s">
        <v>12</v>
      </c>
    </row>
    <row r="2" spans="1:5" ht="15">
      <c r="A2" s="27" t="s">
        <v>13</v>
      </c>
      <c r="B2" s="31">
        <v>0</v>
      </c>
      <c r="C2" s="31">
        <v>0</v>
      </c>
      <c r="D2" s="31">
        <v>0</v>
      </c>
      <c r="E2" s="31">
        <v>0</v>
      </c>
    </row>
    <row r="3" spans="1:5" ht="15">
      <c r="A3" s="27" t="s">
        <v>14</v>
      </c>
      <c r="B3" s="26">
        <v>530000</v>
      </c>
      <c r="C3" s="26">
        <v>424000</v>
      </c>
      <c r="D3" s="31">
        <v>84800</v>
      </c>
      <c r="E3" s="31">
        <v>21200</v>
      </c>
    </row>
    <row r="4" spans="1:5" ht="15">
      <c r="A4" s="27" t="s">
        <v>15</v>
      </c>
      <c r="B4" s="26">
        <v>50000</v>
      </c>
      <c r="C4" s="26">
        <v>40000</v>
      </c>
      <c r="D4" s="31">
        <v>8000</v>
      </c>
      <c r="E4" s="31">
        <v>2000</v>
      </c>
    </row>
    <row r="5" spans="1:5" ht="15">
      <c r="A5" s="27" t="s">
        <v>16</v>
      </c>
      <c r="B5" s="26">
        <v>10000</v>
      </c>
      <c r="C5" s="26">
        <v>8000</v>
      </c>
      <c r="D5" s="31">
        <v>1600</v>
      </c>
      <c r="E5" s="31">
        <v>400</v>
      </c>
    </row>
    <row r="6" spans="1:5" ht="15">
      <c r="A6" s="27" t="s">
        <v>17</v>
      </c>
      <c r="B6" s="26">
        <v>10000</v>
      </c>
      <c r="C6" s="26">
        <v>8000</v>
      </c>
      <c r="D6" s="31">
        <v>1600</v>
      </c>
      <c r="E6" s="31">
        <v>400</v>
      </c>
    </row>
    <row r="7" spans="1:5" ht="15">
      <c r="A7" s="27" t="s">
        <v>18</v>
      </c>
      <c r="B7" s="26">
        <v>0</v>
      </c>
      <c r="C7" s="26">
        <v>0</v>
      </c>
      <c r="D7" s="31">
        <v>0</v>
      </c>
      <c r="E7" s="31">
        <v>0</v>
      </c>
    </row>
    <row r="8" spans="1:5" ht="15">
      <c r="A8" s="28" t="s">
        <v>19</v>
      </c>
      <c r="B8" s="32">
        <v>0</v>
      </c>
      <c r="C8" s="32">
        <v>0</v>
      </c>
      <c r="D8" s="31">
        <v>0</v>
      </c>
      <c r="E8" s="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8748-F6B7-4FCC-88C5-E8379E8EC627}">
  <dimension ref="A1:F8"/>
  <sheetViews>
    <sheetView workbookViewId="0">
      <selection activeCell="B2" sqref="B2:E8"/>
    </sheetView>
  </sheetViews>
  <sheetFormatPr defaultColWidth="0" defaultRowHeight="0" customHeight="1" zeroHeight="1"/>
  <cols>
    <col min="1" max="1" width="23.85546875" customWidth="1"/>
    <col min="2" max="2" width="16" bestFit="1" customWidth="1"/>
    <col min="3" max="5" width="23.85546875" customWidth="1"/>
  </cols>
  <sheetData>
    <row r="1" spans="1:6" ht="15">
      <c r="A1" s="1" t="s">
        <v>8</v>
      </c>
      <c r="B1" s="29" t="s">
        <v>20</v>
      </c>
      <c r="C1" s="30" t="s">
        <v>21</v>
      </c>
      <c r="D1" s="30" t="s">
        <v>22</v>
      </c>
      <c r="E1" s="30" t="s">
        <v>23</v>
      </c>
    </row>
    <row r="2" spans="1:6" ht="15">
      <c r="A2" s="27" t="s">
        <v>13</v>
      </c>
      <c r="B2" s="31">
        <v>0</v>
      </c>
      <c r="C2" s="31">
        <v>0</v>
      </c>
      <c r="D2" s="31">
        <v>0</v>
      </c>
      <c r="E2" s="31">
        <v>0</v>
      </c>
      <c r="F2" s="55">
        <v>12600</v>
      </c>
    </row>
    <row r="3" spans="1:6" ht="15">
      <c r="A3" s="27" t="s">
        <v>14</v>
      </c>
      <c r="B3" s="26">
        <v>530000</v>
      </c>
      <c r="C3" s="26">
        <v>424000</v>
      </c>
      <c r="D3" s="31">
        <v>84800</v>
      </c>
      <c r="E3" s="31">
        <v>21200</v>
      </c>
      <c r="F3">
        <v>225</v>
      </c>
    </row>
    <row r="4" spans="1:6" ht="15">
      <c r="A4" s="27" t="s">
        <v>15</v>
      </c>
      <c r="B4" s="26">
        <v>50000</v>
      </c>
      <c r="C4" s="26">
        <v>40000</v>
      </c>
      <c r="D4" s="31">
        <v>8000</v>
      </c>
      <c r="E4" s="31">
        <v>2000</v>
      </c>
      <c r="F4">
        <v>900</v>
      </c>
    </row>
    <row r="5" spans="1:6" ht="15">
      <c r="A5" s="27" t="s">
        <v>16</v>
      </c>
      <c r="B5" s="26">
        <v>10000</v>
      </c>
      <c r="C5" s="26">
        <v>8000</v>
      </c>
      <c r="D5" s="31">
        <v>1600</v>
      </c>
      <c r="E5" s="31">
        <v>400</v>
      </c>
      <c r="F5">
        <v>675</v>
      </c>
    </row>
    <row r="6" spans="1:6" ht="15">
      <c r="A6" s="27" t="s">
        <v>17</v>
      </c>
      <c r="B6" s="26">
        <v>10000</v>
      </c>
      <c r="C6" s="26">
        <v>8000</v>
      </c>
      <c r="D6" s="31">
        <v>1600</v>
      </c>
      <c r="E6" s="31">
        <v>400</v>
      </c>
      <c r="F6" s="55">
        <v>2700</v>
      </c>
    </row>
    <row r="7" spans="1:6" ht="15">
      <c r="A7" s="27" t="s">
        <v>18</v>
      </c>
      <c r="B7" s="26">
        <v>0</v>
      </c>
      <c r="C7" s="26">
        <v>0</v>
      </c>
      <c r="D7" s="31">
        <v>0</v>
      </c>
      <c r="E7" s="31">
        <v>0</v>
      </c>
      <c r="F7" t="s">
        <v>24</v>
      </c>
    </row>
    <row r="8" spans="1:6" ht="15">
      <c r="A8" s="28" t="s">
        <v>19</v>
      </c>
      <c r="B8" s="32">
        <v>0</v>
      </c>
      <c r="C8" s="32">
        <v>0</v>
      </c>
      <c r="D8" s="31">
        <v>0</v>
      </c>
      <c r="E8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2029-4304-439E-930F-13D0A0F8FE92}">
  <dimension ref="A1:O64"/>
  <sheetViews>
    <sheetView workbookViewId="0">
      <selection activeCell="H9" sqref="H9"/>
    </sheetView>
  </sheetViews>
  <sheetFormatPr defaultColWidth="0" defaultRowHeight="0" customHeight="1" zeroHeight="1"/>
  <cols>
    <col min="1" max="1" width="28" customWidth="1"/>
    <col min="2" max="2" width="18.7109375" customWidth="1"/>
    <col min="3" max="3" width="23" style="10" bestFit="1" customWidth="1"/>
    <col min="4" max="4" width="24.28515625" style="10" customWidth="1"/>
    <col min="5" max="5" width="31.140625" style="10" customWidth="1"/>
    <col min="6" max="6" width="20.5703125" style="11" bestFit="1" customWidth="1"/>
    <col min="7" max="7" width="26.85546875" style="10" customWidth="1"/>
    <col min="8" max="8" width="20.5703125" style="11" bestFit="1" customWidth="1"/>
    <col min="9" max="9" width="20.5703125" style="22" customWidth="1"/>
    <col min="10" max="10" width="20.5703125" style="11" customWidth="1"/>
    <col min="11" max="11" width="14.85546875" style="11" customWidth="1"/>
    <col min="12" max="12" width="26.85546875" style="11" customWidth="1"/>
    <col min="13" max="13" width="8.7109375" style="11" customWidth="1"/>
    <col min="14" max="14" width="26.85546875" style="11" customWidth="1"/>
  </cols>
  <sheetData>
    <row r="1" spans="1:15" ht="15">
      <c r="A1" s="12" t="s">
        <v>8</v>
      </c>
      <c r="B1" s="12" t="s">
        <v>25</v>
      </c>
      <c r="C1" s="14" t="s">
        <v>26</v>
      </c>
      <c r="D1" s="8" t="s">
        <v>27</v>
      </c>
      <c r="E1" s="13" t="s">
        <v>28</v>
      </c>
      <c r="F1" s="9" t="s">
        <v>29</v>
      </c>
      <c r="G1" s="7" t="s">
        <v>30</v>
      </c>
      <c r="H1" s="16" t="s">
        <v>31</v>
      </c>
      <c r="I1" s="21" t="s">
        <v>32</v>
      </c>
      <c r="J1" s="17" t="s">
        <v>33</v>
      </c>
      <c r="K1" s="18" t="s">
        <v>34</v>
      </c>
      <c r="L1" s="16" t="s">
        <v>35</v>
      </c>
      <c r="M1" s="18" t="s">
        <v>36</v>
      </c>
      <c r="N1" s="9" t="s">
        <v>37</v>
      </c>
    </row>
    <row r="2" spans="1:15" ht="15">
      <c r="A2" s="5" t="s">
        <v>14</v>
      </c>
      <c r="B2" s="15">
        <v>45953</v>
      </c>
      <c r="C2" s="53">
        <v>24800</v>
      </c>
      <c r="D2" s="40">
        <v>381</v>
      </c>
      <c r="E2" s="53">
        <v>4960</v>
      </c>
      <c r="F2" s="40">
        <v>76</v>
      </c>
      <c r="G2" s="53">
        <v>1240</v>
      </c>
      <c r="H2" s="40">
        <v>19</v>
      </c>
      <c r="I2" s="42">
        <v>6.25E-2</v>
      </c>
      <c r="J2" s="41">
        <v>476</v>
      </c>
      <c r="K2" s="43"/>
      <c r="L2" s="41">
        <v>94</v>
      </c>
      <c r="M2" s="43"/>
      <c r="N2" s="41">
        <v>32</v>
      </c>
      <c r="O2">
        <v>20</v>
      </c>
    </row>
    <row r="3" spans="1:15" ht="15">
      <c r="A3" s="5" t="s">
        <v>14</v>
      </c>
      <c r="B3" s="15">
        <f>B2+1</f>
        <v>45954</v>
      </c>
      <c r="C3" s="53">
        <v>24800</v>
      </c>
      <c r="D3" s="40">
        <v>381</v>
      </c>
      <c r="E3" s="53">
        <v>4960</v>
      </c>
      <c r="F3" s="40">
        <v>76</v>
      </c>
      <c r="G3" s="53">
        <v>1240</v>
      </c>
      <c r="H3" s="40">
        <v>19</v>
      </c>
      <c r="I3" s="42">
        <v>6.25E-2</v>
      </c>
      <c r="J3" s="41">
        <v>476</v>
      </c>
      <c r="K3" s="44"/>
      <c r="L3" s="41">
        <v>94</v>
      </c>
      <c r="M3" s="44"/>
      <c r="N3" s="41">
        <v>32</v>
      </c>
      <c r="O3">
        <v>20</v>
      </c>
    </row>
    <row r="4" spans="1:15" ht="15">
      <c r="A4" s="5" t="s">
        <v>14</v>
      </c>
      <c r="B4" s="15">
        <f t="shared" ref="B4:B32" si="0">B3+1</f>
        <v>45955</v>
      </c>
      <c r="C4" s="53">
        <v>24800</v>
      </c>
      <c r="D4" s="40">
        <v>381</v>
      </c>
      <c r="E4" s="53">
        <v>4960</v>
      </c>
      <c r="F4" s="40">
        <v>76</v>
      </c>
      <c r="G4" s="53">
        <v>1240</v>
      </c>
      <c r="H4" s="40">
        <v>19</v>
      </c>
      <c r="I4" s="42">
        <v>6.25E-2</v>
      </c>
      <c r="J4" s="41">
        <v>476</v>
      </c>
      <c r="K4" s="44"/>
      <c r="L4" s="41">
        <v>94</v>
      </c>
      <c r="M4" s="44"/>
      <c r="N4" s="41">
        <v>32</v>
      </c>
      <c r="O4">
        <v>20</v>
      </c>
    </row>
    <row r="5" spans="1:15" ht="15">
      <c r="A5" s="5" t="s">
        <v>14</v>
      </c>
      <c r="B5" s="15">
        <f t="shared" si="0"/>
        <v>45956</v>
      </c>
      <c r="C5" s="53">
        <v>24800</v>
      </c>
      <c r="D5" s="40">
        <v>381</v>
      </c>
      <c r="E5" s="53">
        <v>4960</v>
      </c>
      <c r="F5" s="40">
        <v>76</v>
      </c>
      <c r="G5" s="53">
        <v>1240</v>
      </c>
      <c r="H5" s="40">
        <v>19</v>
      </c>
      <c r="I5" s="42">
        <v>6.25E-2</v>
      </c>
      <c r="J5" s="41">
        <v>476</v>
      </c>
      <c r="K5" s="44"/>
      <c r="L5" s="41">
        <v>94</v>
      </c>
      <c r="M5" s="44"/>
      <c r="N5" s="41">
        <v>32</v>
      </c>
      <c r="O5">
        <v>20</v>
      </c>
    </row>
    <row r="6" spans="1:15" ht="15">
      <c r="A6" s="5" t="s">
        <v>14</v>
      </c>
      <c r="B6" s="15">
        <f t="shared" si="0"/>
        <v>45957</v>
      </c>
      <c r="C6" s="53">
        <v>24800</v>
      </c>
      <c r="D6" s="40">
        <v>381</v>
      </c>
      <c r="E6" s="53">
        <v>4960</v>
      </c>
      <c r="F6" s="40">
        <v>76</v>
      </c>
      <c r="G6" s="53">
        <v>1240</v>
      </c>
      <c r="H6" s="40">
        <v>19</v>
      </c>
      <c r="I6" s="42">
        <v>6.25E-2</v>
      </c>
      <c r="J6" s="41">
        <v>476</v>
      </c>
      <c r="K6" s="44"/>
      <c r="L6" s="41">
        <v>94</v>
      </c>
      <c r="M6" s="44"/>
      <c r="N6" s="41">
        <v>32</v>
      </c>
      <c r="O6">
        <v>20</v>
      </c>
    </row>
    <row r="7" spans="1:15" ht="15">
      <c r="A7" s="5" t="s">
        <v>14</v>
      </c>
      <c r="B7" s="15">
        <f t="shared" si="0"/>
        <v>45958</v>
      </c>
      <c r="C7" s="53">
        <v>24800</v>
      </c>
      <c r="D7" s="40">
        <v>381</v>
      </c>
      <c r="E7" s="53">
        <v>4960</v>
      </c>
      <c r="F7" s="40">
        <v>76</v>
      </c>
      <c r="G7" s="53">
        <v>1240</v>
      </c>
      <c r="H7" s="40">
        <v>19</v>
      </c>
      <c r="I7" s="42">
        <v>6.25E-2</v>
      </c>
      <c r="J7" s="41">
        <v>476</v>
      </c>
      <c r="K7" s="44"/>
      <c r="L7" s="41">
        <v>94</v>
      </c>
      <c r="M7" s="44"/>
      <c r="N7" s="41">
        <v>32</v>
      </c>
      <c r="O7">
        <v>20</v>
      </c>
    </row>
    <row r="8" spans="1:15" ht="15">
      <c r="A8" s="5" t="s">
        <v>14</v>
      </c>
      <c r="B8" s="15">
        <f t="shared" si="0"/>
        <v>45959</v>
      </c>
      <c r="C8" s="53">
        <v>24800</v>
      </c>
      <c r="D8" s="40">
        <v>381</v>
      </c>
      <c r="E8" s="53">
        <v>4960</v>
      </c>
      <c r="F8" s="40">
        <v>76</v>
      </c>
      <c r="G8" s="53">
        <v>1240</v>
      </c>
      <c r="H8" s="40">
        <v>19</v>
      </c>
      <c r="I8" s="42">
        <v>6.25E-2</v>
      </c>
      <c r="J8" s="41">
        <v>476</v>
      </c>
      <c r="K8" s="44"/>
      <c r="L8" s="41">
        <v>94</v>
      </c>
      <c r="M8" s="44"/>
      <c r="N8" s="41">
        <v>32</v>
      </c>
      <c r="O8">
        <v>20</v>
      </c>
    </row>
    <row r="9" spans="1:15" ht="15">
      <c r="A9" s="5" t="s">
        <v>14</v>
      </c>
      <c r="B9" s="15">
        <f t="shared" si="0"/>
        <v>45960</v>
      </c>
      <c r="C9" s="53">
        <v>24800</v>
      </c>
      <c r="D9" s="40">
        <v>381</v>
      </c>
      <c r="E9" s="53">
        <v>4960</v>
      </c>
      <c r="F9" s="40">
        <v>76</v>
      </c>
      <c r="G9" s="53">
        <v>1240</v>
      </c>
      <c r="H9" s="40">
        <v>19</v>
      </c>
      <c r="I9" s="42">
        <v>6.25E-2</v>
      </c>
      <c r="J9" s="41">
        <v>476</v>
      </c>
      <c r="K9" s="44"/>
      <c r="L9" s="41">
        <v>94</v>
      </c>
      <c r="M9" s="44"/>
      <c r="N9" s="41">
        <v>32</v>
      </c>
      <c r="O9">
        <v>20</v>
      </c>
    </row>
    <row r="10" spans="1:15" ht="15">
      <c r="A10" s="5" t="s">
        <v>14</v>
      </c>
      <c r="B10" s="15">
        <f t="shared" si="0"/>
        <v>45961</v>
      </c>
      <c r="C10" s="53">
        <v>40000</v>
      </c>
      <c r="D10" s="40">
        <v>615</v>
      </c>
      <c r="E10" s="53">
        <v>8000</v>
      </c>
      <c r="F10" s="40">
        <v>123</v>
      </c>
      <c r="G10" s="53">
        <v>2000</v>
      </c>
      <c r="H10" s="40">
        <v>30</v>
      </c>
      <c r="I10" s="42">
        <v>6.25E-2</v>
      </c>
      <c r="J10" s="41">
        <v>476</v>
      </c>
      <c r="K10" s="44"/>
      <c r="L10" s="41">
        <v>94</v>
      </c>
      <c r="M10" s="44"/>
      <c r="N10" s="41">
        <v>32</v>
      </c>
      <c r="O10">
        <v>20</v>
      </c>
    </row>
    <row r="11" spans="1:15" ht="15">
      <c r="A11" s="5" t="s">
        <v>14</v>
      </c>
      <c r="B11" s="15">
        <f t="shared" si="0"/>
        <v>45962</v>
      </c>
      <c r="C11" s="53">
        <v>40000</v>
      </c>
      <c r="D11" s="40">
        <v>615</v>
      </c>
      <c r="E11" s="53">
        <v>8000</v>
      </c>
      <c r="F11" s="40">
        <v>123</v>
      </c>
      <c r="G11" s="53">
        <v>2000</v>
      </c>
      <c r="H11" s="40">
        <v>30</v>
      </c>
      <c r="I11" s="42">
        <v>6.25E-2</v>
      </c>
      <c r="J11" s="41">
        <v>476</v>
      </c>
      <c r="K11" s="44"/>
      <c r="L11" s="41">
        <v>94</v>
      </c>
      <c r="M11" s="44"/>
      <c r="N11" s="41">
        <v>32</v>
      </c>
      <c r="O11">
        <v>20</v>
      </c>
    </row>
    <row r="12" spans="1:15" ht="15">
      <c r="A12" s="5" t="s">
        <v>14</v>
      </c>
      <c r="B12" s="15">
        <f t="shared" si="0"/>
        <v>45963</v>
      </c>
      <c r="C12" s="53">
        <v>40000</v>
      </c>
      <c r="D12" s="40">
        <v>615</v>
      </c>
      <c r="E12" s="53">
        <v>8000</v>
      </c>
      <c r="F12" s="40">
        <v>123</v>
      </c>
      <c r="G12" s="53">
        <v>2000</v>
      </c>
      <c r="H12" s="40">
        <v>30</v>
      </c>
      <c r="I12" s="42">
        <v>6.25E-2</v>
      </c>
      <c r="J12" s="41">
        <v>476</v>
      </c>
      <c r="K12" s="44"/>
      <c r="L12" s="41">
        <v>94</v>
      </c>
      <c r="M12" s="44"/>
      <c r="N12" s="41">
        <v>32</v>
      </c>
      <c r="O12">
        <v>20</v>
      </c>
    </row>
    <row r="13" spans="1:15" ht="15">
      <c r="A13" s="5" t="s">
        <v>14</v>
      </c>
      <c r="B13" s="15">
        <f t="shared" si="0"/>
        <v>45964</v>
      </c>
      <c r="C13" s="53">
        <v>35200</v>
      </c>
      <c r="D13" s="40">
        <v>541</v>
      </c>
      <c r="E13" s="53">
        <v>7040</v>
      </c>
      <c r="F13" s="40">
        <v>108</v>
      </c>
      <c r="G13" s="53">
        <v>1760</v>
      </c>
      <c r="H13" s="40">
        <v>27</v>
      </c>
      <c r="I13" s="42">
        <v>6.25E-2</v>
      </c>
      <c r="J13" s="41">
        <v>476</v>
      </c>
      <c r="K13" s="44"/>
      <c r="L13" s="41">
        <v>94</v>
      </c>
      <c r="M13" s="44"/>
      <c r="N13" s="41">
        <v>32</v>
      </c>
      <c r="O13">
        <v>20</v>
      </c>
    </row>
    <row r="14" spans="1:15" ht="15">
      <c r="A14" s="5" t="s">
        <v>14</v>
      </c>
      <c r="B14" s="15">
        <f t="shared" si="0"/>
        <v>45965</v>
      </c>
      <c r="C14" s="53">
        <v>35200</v>
      </c>
      <c r="D14" s="40">
        <v>541</v>
      </c>
      <c r="E14" s="53">
        <v>7040</v>
      </c>
      <c r="F14" s="40">
        <v>108</v>
      </c>
      <c r="G14" s="53">
        <v>1760</v>
      </c>
      <c r="H14" s="40">
        <v>27</v>
      </c>
      <c r="I14" s="42">
        <v>6.25E-2</v>
      </c>
      <c r="J14" s="41">
        <v>476</v>
      </c>
      <c r="K14" s="44"/>
      <c r="L14" s="41">
        <v>94</v>
      </c>
      <c r="M14" s="44"/>
      <c r="N14" s="41">
        <v>32</v>
      </c>
      <c r="O14">
        <v>20</v>
      </c>
    </row>
    <row r="15" spans="1:15" ht="15">
      <c r="A15" s="5" t="s">
        <v>14</v>
      </c>
      <c r="B15" s="15">
        <f t="shared" si="0"/>
        <v>45966</v>
      </c>
      <c r="C15" s="53">
        <v>35200</v>
      </c>
      <c r="D15" s="40">
        <v>541</v>
      </c>
      <c r="E15" s="53">
        <v>7040</v>
      </c>
      <c r="F15" s="40">
        <v>108</v>
      </c>
      <c r="G15" s="53">
        <v>1760</v>
      </c>
      <c r="H15" s="40">
        <v>27</v>
      </c>
      <c r="I15" s="42">
        <v>6.25E-2</v>
      </c>
      <c r="J15" s="41">
        <v>476</v>
      </c>
      <c r="K15" s="44"/>
      <c r="L15" s="41">
        <v>94</v>
      </c>
      <c r="M15" s="44"/>
      <c r="N15" s="41">
        <v>32</v>
      </c>
      <c r="O15">
        <v>20</v>
      </c>
    </row>
    <row r="16" spans="1:15" ht="15">
      <c r="A16" s="5" t="s">
        <v>14</v>
      </c>
      <c r="B16" s="15">
        <f t="shared" si="0"/>
        <v>45967</v>
      </c>
      <c r="C16" s="53"/>
      <c r="D16" s="40"/>
      <c r="E16" s="53"/>
      <c r="F16" s="40"/>
      <c r="G16" s="53"/>
      <c r="H16" s="40"/>
      <c r="I16" s="42"/>
      <c r="J16" s="41"/>
      <c r="K16" s="44"/>
      <c r="L16" s="41">
        <v>94</v>
      </c>
      <c r="M16" s="44"/>
      <c r="N16" s="41">
        <v>32</v>
      </c>
      <c r="O16">
        <v>20</v>
      </c>
    </row>
    <row r="17" spans="1:14" ht="15">
      <c r="A17" s="5" t="s">
        <v>14</v>
      </c>
      <c r="B17" s="15">
        <f t="shared" si="0"/>
        <v>45968</v>
      </c>
      <c r="C17" s="53"/>
      <c r="D17" s="40"/>
      <c r="E17" s="53"/>
      <c r="F17" s="40"/>
      <c r="G17" s="53"/>
      <c r="H17" s="40"/>
      <c r="I17" s="42"/>
      <c r="J17" s="41"/>
      <c r="K17" s="44"/>
      <c r="L17" s="41">
        <v>94</v>
      </c>
      <c r="M17" s="44"/>
      <c r="N17" s="41">
        <v>32</v>
      </c>
    </row>
    <row r="18" spans="1:14" ht="15">
      <c r="A18" s="5" t="s">
        <v>14</v>
      </c>
      <c r="B18" s="15">
        <f t="shared" si="0"/>
        <v>45969</v>
      </c>
      <c r="C18" s="53"/>
      <c r="D18" s="40"/>
      <c r="E18" s="53"/>
      <c r="F18" s="40"/>
      <c r="G18" s="53"/>
      <c r="H18" s="40"/>
      <c r="I18" s="42"/>
      <c r="J18" s="41"/>
      <c r="K18" s="44"/>
      <c r="L18" s="41"/>
      <c r="M18" s="44"/>
      <c r="N18" s="41"/>
    </row>
    <row r="19" spans="1:14" ht="15">
      <c r="A19" s="5" t="s">
        <v>14</v>
      </c>
      <c r="B19" s="15">
        <f t="shared" si="0"/>
        <v>45970</v>
      </c>
      <c r="C19" s="53"/>
      <c r="D19" s="40"/>
      <c r="E19" s="53"/>
      <c r="F19" s="40"/>
      <c r="G19" s="53"/>
      <c r="H19" s="40"/>
      <c r="I19" s="42"/>
      <c r="J19" s="41"/>
      <c r="K19" s="44"/>
      <c r="L19" s="41"/>
      <c r="M19" s="44"/>
      <c r="N19" s="41"/>
    </row>
    <row r="20" spans="1:14" ht="15">
      <c r="A20" s="5" t="s">
        <v>14</v>
      </c>
      <c r="B20" s="15">
        <f t="shared" si="0"/>
        <v>45971</v>
      </c>
      <c r="C20" s="53"/>
      <c r="D20" s="40"/>
      <c r="E20" s="53"/>
      <c r="F20" s="40"/>
      <c r="G20" s="53"/>
      <c r="H20" s="40"/>
      <c r="I20" s="42"/>
      <c r="J20" s="41"/>
      <c r="K20" s="44"/>
      <c r="L20" s="41"/>
      <c r="M20" s="44"/>
      <c r="N20" s="41"/>
    </row>
    <row r="21" spans="1:14" ht="15">
      <c r="A21" s="5" t="s">
        <v>14</v>
      </c>
      <c r="B21" s="15">
        <f t="shared" si="0"/>
        <v>45972</v>
      </c>
      <c r="C21" s="53"/>
      <c r="D21" s="40"/>
      <c r="E21" s="53"/>
      <c r="F21" s="40"/>
      <c r="G21" s="53"/>
      <c r="H21" s="40"/>
      <c r="I21" s="42"/>
      <c r="J21" s="41"/>
      <c r="K21" s="44"/>
      <c r="L21" s="41"/>
      <c r="M21" s="44"/>
      <c r="N21" s="41"/>
    </row>
    <row r="22" spans="1:14" ht="15">
      <c r="A22" s="5" t="s">
        <v>14</v>
      </c>
      <c r="B22" s="15">
        <f t="shared" si="0"/>
        <v>45973</v>
      </c>
      <c r="C22" s="53"/>
      <c r="D22" s="40"/>
      <c r="E22" s="53"/>
      <c r="F22" s="40"/>
      <c r="G22" s="53"/>
      <c r="H22" s="40"/>
      <c r="I22" s="42"/>
      <c r="J22" s="41"/>
      <c r="K22" s="44"/>
      <c r="L22" s="41"/>
      <c r="M22" s="44"/>
      <c r="N22" s="41"/>
    </row>
    <row r="23" spans="1:14" ht="15">
      <c r="A23" s="5" t="s">
        <v>14</v>
      </c>
      <c r="B23" s="15">
        <f t="shared" si="0"/>
        <v>45974</v>
      </c>
      <c r="C23" s="53"/>
      <c r="D23" s="40"/>
      <c r="E23" s="53"/>
      <c r="F23" s="40"/>
      <c r="G23" s="53"/>
      <c r="H23" s="40"/>
      <c r="I23" s="42"/>
      <c r="J23" s="41"/>
      <c r="K23" s="44"/>
      <c r="L23" s="41"/>
      <c r="M23" s="44"/>
      <c r="N23" s="41"/>
    </row>
    <row r="24" spans="1:14" ht="15">
      <c r="A24" s="5" t="s">
        <v>14</v>
      </c>
      <c r="B24" s="15">
        <f t="shared" si="0"/>
        <v>45975</v>
      </c>
      <c r="C24" s="53"/>
      <c r="D24" s="40"/>
      <c r="E24" s="53"/>
      <c r="F24" s="40"/>
      <c r="G24" s="53"/>
      <c r="H24" s="40"/>
      <c r="I24" s="42"/>
      <c r="J24" s="41"/>
      <c r="K24" s="44"/>
      <c r="L24" s="41"/>
      <c r="M24" s="44"/>
      <c r="N24" s="41"/>
    </row>
    <row r="25" spans="1:14" ht="15">
      <c r="A25" s="5" t="s">
        <v>14</v>
      </c>
      <c r="B25" s="15">
        <f t="shared" si="0"/>
        <v>45976</v>
      </c>
      <c r="C25" s="53"/>
      <c r="D25" s="40"/>
      <c r="E25" s="53"/>
      <c r="F25" s="40"/>
      <c r="G25" s="53"/>
      <c r="H25" s="40"/>
      <c r="I25" s="42"/>
      <c r="J25" s="41"/>
      <c r="K25" s="44"/>
      <c r="L25" s="41"/>
      <c r="M25" s="44"/>
      <c r="N25" s="41"/>
    </row>
    <row r="26" spans="1:14" ht="15">
      <c r="A26" s="5" t="s">
        <v>14</v>
      </c>
      <c r="B26" s="15">
        <f t="shared" si="0"/>
        <v>45977</v>
      </c>
      <c r="C26" s="45"/>
      <c r="D26" s="46"/>
      <c r="E26" s="46"/>
      <c r="F26" s="46"/>
      <c r="G26" s="46"/>
      <c r="H26" s="47"/>
      <c r="I26" s="48"/>
      <c r="J26" s="48"/>
      <c r="K26" s="44"/>
      <c r="L26" s="48"/>
      <c r="M26" s="44"/>
      <c r="N26" s="48"/>
    </row>
    <row r="27" spans="1:14" ht="15">
      <c r="A27" s="5" t="s">
        <v>14</v>
      </c>
      <c r="B27" s="15">
        <f t="shared" si="0"/>
        <v>45978</v>
      </c>
      <c r="C27" s="45"/>
      <c r="D27" s="46"/>
      <c r="E27" s="46"/>
      <c r="F27" s="46"/>
      <c r="G27" s="46"/>
      <c r="H27" s="47"/>
      <c r="I27" s="48"/>
      <c r="J27" s="48"/>
      <c r="K27" s="44"/>
      <c r="L27" s="48"/>
      <c r="M27" s="44"/>
      <c r="N27" s="48"/>
    </row>
    <row r="28" spans="1:14" ht="15">
      <c r="A28" s="5" t="s">
        <v>14</v>
      </c>
      <c r="B28" s="15">
        <f t="shared" si="0"/>
        <v>45979</v>
      </c>
      <c r="C28" s="45"/>
      <c r="D28" s="46"/>
      <c r="E28" s="46"/>
      <c r="F28" s="46"/>
      <c r="G28" s="46"/>
      <c r="H28" s="47"/>
      <c r="I28" s="48"/>
      <c r="J28" s="48"/>
      <c r="K28" s="44"/>
      <c r="L28" s="48"/>
      <c r="M28" s="44"/>
      <c r="N28" s="48"/>
    </row>
    <row r="29" spans="1:14" ht="15">
      <c r="A29" s="5" t="s">
        <v>14</v>
      </c>
      <c r="B29" s="15">
        <f t="shared" si="0"/>
        <v>45980</v>
      </c>
      <c r="C29" s="45"/>
      <c r="D29" s="46"/>
      <c r="E29" s="46"/>
      <c r="F29" s="46"/>
      <c r="G29" s="46"/>
      <c r="H29" s="47"/>
      <c r="I29" s="48"/>
      <c r="J29" s="48"/>
      <c r="K29" s="44"/>
      <c r="L29" s="48"/>
      <c r="M29" s="44"/>
      <c r="N29" s="48"/>
    </row>
    <row r="30" spans="1:14" ht="15">
      <c r="A30" s="5" t="s">
        <v>14</v>
      </c>
      <c r="B30" s="15">
        <f t="shared" si="0"/>
        <v>45981</v>
      </c>
      <c r="C30" s="45"/>
      <c r="D30" s="46"/>
      <c r="E30" s="46"/>
      <c r="F30" s="46"/>
      <c r="G30" s="46"/>
      <c r="H30" s="47"/>
      <c r="I30" s="48"/>
      <c r="J30" s="48"/>
      <c r="K30" s="44"/>
      <c r="L30" s="48"/>
      <c r="M30" s="44"/>
      <c r="N30" s="48"/>
    </row>
    <row r="31" spans="1:14" ht="15">
      <c r="A31" s="5" t="s">
        <v>14</v>
      </c>
      <c r="B31" s="15">
        <f t="shared" si="0"/>
        <v>45982</v>
      </c>
      <c r="C31" s="45"/>
      <c r="D31" s="46"/>
      <c r="E31" s="46"/>
      <c r="F31" s="46"/>
      <c r="G31" s="46"/>
      <c r="H31" s="47"/>
      <c r="I31" s="48"/>
      <c r="J31" s="48"/>
      <c r="K31" s="44"/>
      <c r="L31" s="48"/>
      <c r="M31" s="44"/>
      <c r="N31" s="48"/>
    </row>
    <row r="32" spans="1:14" ht="15">
      <c r="A32" s="5" t="s">
        <v>14</v>
      </c>
      <c r="B32" s="15">
        <f t="shared" si="0"/>
        <v>45983</v>
      </c>
      <c r="C32" s="49"/>
      <c r="D32" s="50"/>
      <c r="E32" s="50"/>
      <c r="F32" s="50"/>
      <c r="G32" s="50"/>
      <c r="H32" s="51"/>
      <c r="I32" s="52"/>
      <c r="J32" s="52"/>
      <c r="K32" s="44"/>
      <c r="L32" s="52"/>
      <c r="M32" s="44"/>
      <c r="N32" s="52"/>
    </row>
    <row r="33" spans="2:12" ht="0" hidden="1" customHeight="1">
      <c r="B33" s="15">
        <v>45434</v>
      </c>
      <c r="C33" s="33"/>
      <c r="L33" s="34"/>
    </row>
    <row r="34" spans="2:12" ht="0" hidden="1" customHeight="1">
      <c r="B34" s="15">
        <v>45435</v>
      </c>
      <c r="C34" s="33"/>
      <c r="L34" s="34"/>
    </row>
    <row r="35" spans="2:12" ht="0" hidden="1" customHeight="1">
      <c r="B35" s="15">
        <v>45436</v>
      </c>
      <c r="C35" s="33"/>
      <c r="L35" s="34"/>
    </row>
    <row r="36" spans="2:12" ht="0" hidden="1" customHeight="1">
      <c r="B36" s="15">
        <v>45437</v>
      </c>
      <c r="C36" s="33"/>
      <c r="L36" s="34"/>
    </row>
    <row r="37" spans="2:12" ht="0" hidden="1" customHeight="1">
      <c r="B37" s="15">
        <v>45438</v>
      </c>
      <c r="C37" s="33"/>
      <c r="L37" s="34"/>
    </row>
    <row r="38" spans="2:12" ht="0" hidden="1" customHeight="1">
      <c r="B38" s="15">
        <v>45439</v>
      </c>
      <c r="C38" s="33"/>
      <c r="L38" s="34"/>
    </row>
    <row r="39" spans="2:12" ht="0" hidden="1" customHeight="1">
      <c r="B39" s="15">
        <v>45440</v>
      </c>
      <c r="C39" s="33"/>
      <c r="L39" s="34"/>
    </row>
    <row r="40" spans="2:12" ht="0" hidden="1" customHeight="1">
      <c r="B40" s="15">
        <v>45441</v>
      </c>
      <c r="C40" s="33"/>
      <c r="L40" s="34"/>
    </row>
    <row r="41" spans="2:12" ht="0" hidden="1" customHeight="1">
      <c r="B41" s="15">
        <v>45442</v>
      </c>
      <c r="C41" s="33"/>
      <c r="L41" s="34"/>
    </row>
    <row r="42" spans="2:12" ht="0" hidden="1" customHeight="1">
      <c r="B42" s="15">
        <v>45443</v>
      </c>
      <c r="C42" s="33"/>
      <c r="L42" s="34"/>
    </row>
    <row r="43" spans="2:12" ht="0" hidden="1" customHeight="1">
      <c r="B43" s="15">
        <v>45444</v>
      </c>
      <c r="C43" s="33"/>
      <c r="L43" s="34"/>
    </row>
    <row r="44" spans="2:12" ht="0" hidden="1" customHeight="1">
      <c r="B44" s="15">
        <v>45445</v>
      </c>
      <c r="C44" s="33"/>
      <c r="L44" s="34"/>
    </row>
    <row r="45" spans="2:12" ht="0" hidden="1" customHeight="1">
      <c r="B45" s="15">
        <v>45446</v>
      </c>
      <c r="C45" s="33"/>
      <c r="L45" s="34"/>
    </row>
    <row r="46" spans="2:12" ht="0" hidden="1" customHeight="1">
      <c r="B46" s="15">
        <v>45447</v>
      </c>
      <c r="C46" s="33"/>
      <c r="L46" s="34"/>
    </row>
    <row r="47" spans="2:12" ht="0" hidden="1" customHeight="1">
      <c r="B47" s="15">
        <v>45448</v>
      </c>
      <c r="C47" s="35"/>
      <c r="D47" s="36"/>
      <c r="E47" s="36"/>
      <c r="F47" s="37"/>
      <c r="G47" s="36"/>
      <c r="H47" s="37"/>
      <c r="I47" s="38"/>
      <c r="J47" s="37"/>
      <c r="K47" s="37"/>
      <c r="L47" s="39"/>
    </row>
    <row r="48" spans="2:12" ht="0" hidden="1" customHeight="1">
      <c r="B48" s="15">
        <v>45449</v>
      </c>
    </row>
    <row r="49" spans="2:2" ht="0" hidden="1" customHeight="1">
      <c r="B49" s="15">
        <v>45450</v>
      </c>
    </row>
    <row r="50" spans="2:2" ht="0" hidden="1" customHeight="1">
      <c r="B50" s="15">
        <v>45451</v>
      </c>
    </row>
    <row r="51" spans="2:2" ht="0" hidden="1" customHeight="1">
      <c r="B51" s="15">
        <v>45452</v>
      </c>
    </row>
    <row r="52" spans="2:2" ht="0" hidden="1" customHeight="1">
      <c r="B52" s="15">
        <v>45453</v>
      </c>
    </row>
    <row r="53" spans="2:2" ht="0" hidden="1" customHeight="1">
      <c r="B53" s="15">
        <v>45454</v>
      </c>
    </row>
    <row r="54" spans="2:2" ht="0" hidden="1" customHeight="1">
      <c r="B54" s="15">
        <v>45455</v>
      </c>
    </row>
    <row r="55" spans="2:2" ht="0" hidden="1" customHeight="1">
      <c r="B55" s="15">
        <v>45456</v>
      </c>
    </row>
    <row r="56" spans="2:2" ht="0" hidden="1" customHeight="1">
      <c r="B56" s="15">
        <v>45457</v>
      </c>
    </row>
    <row r="57" spans="2:2" ht="0" hidden="1" customHeight="1">
      <c r="B57" s="15">
        <v>45458</v>
      </c>
    </row>
    <row r="58" spans="2:2" ht="0" hidden="1" customHeight="1">
      <c r="B58" s="15">
        <v>45459</v>
      </c>
    </row>
    <row r="59" spans="2:2" ht="0" hidden="1" customHeight="1">
      <c r="B59" s="15">
        <v>45460</v>
      </c>
    </row>
    <row r="60" spans="2:2" ht="0" hidden="1" customHeight="1">
      <c r="B60" s="15">
        <v>45461</v>
      </c>
    </row>
    <row r="61" spans="2:2" ht="0" hidden="1" customHeight="1">
      <c r="B61" s="15">
        <v>45462</v>
      </c>
    </row>
    <row r="62" spans="2:2" ht="0" hidden="1" customHeight="1">
      <c r="B62" s="15">
        <v>45463</v>
      </c>
    </row>
    <row r="63" spans="2:2" ht="0" hidden="1" customHeight="1">
      <c r="B63" s="15">
        <v>45464</v>
      </c>
    </row>
    <row r="64" spans="2:2" ht="0" hidden="1" customHeight="1">
      <c r="B64" s="15">
        <v>45465</v>
      </c>
    </row>
  </sheetData>
  <autoFilter ref="A1:N66" xr:uid="{52B22029-4304-439E-930F-13D0A0F8FE9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C53E-4D1F-4D93-A37C-2E27D9703470}">
  <dimension ref="A1:B3"/>
  <sheetViews>
    <sheetView tabSelected="1" workbookViewId="0">
      <selection activeCell="B2" sqref="B2:B3"/>
    </sheetView>
  </sheetViews>
  <sheetFormatPr defaultColWidth="0" defaultRowHeight="0" customHeight="1" zeroHeight="1"/>
  <cols>
    <col min="1" max="1" width="28.85546875" bestFit="1" customWidth="1"/>
    <col min="2" max="2" width="43.28515625" customWidth="1"/>
  </cols>
  <sheetData>
    <row r="1" spans="1:2" s="6" customFormat="1" ht="15">
      <c r="A1" s="6" t="s">
        <v>38</v>
      </c>
      <c r="B1" s="6" t="s">
        <v>39</v>
      </c>
    </row>
    <row r="2" spans="1:2" ht="15">
      <c r="A2" t="s">
        <v>3</v>
      </c>
      <c r="B2" s="20" t="s">
        <v>40</v>
      </c>
    </row>
    <row r="3" spans="1:2" ht="15">
      <c r="A3" t="s">
        <v>5</v>
      </c>
      <c r="B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Operações Ops</cp:lastModifiedBy>
  <cp:revision/>
  <dcterms:created xsi:type="dcterms:W3CDTF">2024-01-03T21:22:55Z</dcterms:created>
  <dcterms:modified xsi:type="dcterms:W3CDTF">2025-11-05T19:44:00Z</dcterms:modified>
  <cp:category/>
  <cp:contentStatus/>
</cp:coreProperties>
</file>